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bay lot" sheetId="1" r:id="rId5"/>
    <sheet state="visible" name="super rare sonnys rameen" sheetId="2" r:id="rId6"/>
    <sheet state="visible" name="Sheet3" sheetId="3" r:id="rId7"/>
    <sheet state="visible" name="Sheet6" sheetId="4" r:id="rId8"/>
    <sheet state="visible" name="rameenmar13" sheetId="5" r:id="rId9"/>
  </sheets>
  <definedNames/>
  <calcPr/>
</workbook>
</file>

<file path=xl/sharedStrings.xml><?xml version="1.0" encoding="utf-8"?>
<sst xmlns="http://schemas.openxmlformats.org/spreadsheetml/2006/main" count="224" uniqueCount="199">
  <si>
    <t>payed:</t>
  </si>
  <si>
    <t>loss</t>
  </si>
  <si>
    <t>on feb 15 paid 364.66 to apple card</t>
  </si>
  <si>
    <t>name</t>
  </si>
  <si>
    <t xml:space="preserve">selling cost </t>
  </si>
  <si>
    <t>secret pumpkin 2021</t>
  </si>
  <si>
    <t>feb 21 payed 401.36</t>
  </si>
  <si>
    <t>baker bear</t>
  </si>
  <si>
    <t>daniela calderon</t>
  </si>
  <si>
    <t>mouse thief</t>
  </si>
  <si>
    <t>beaker bear, ww koala, rabbits</t>
  </si>
  <si>
    <t>feb 28 payed 191.5</t>
  </si>
  <si>
    <t>sonny angel 2021 pumpin</t>
  </si>
  <si>
    <t xml:space="preserve">secret ww lop </t>
  </si>
  <si>
    <t>giraffe, cat, koala, mouse</t>
  </si>
  <si>
    <t>cuddly lop</t>
  </si>
  <si>
    <t>hsh, lop, cat, bat</t>
  </si>
  <si>
    <t>town musician dog</t>
  </si>
  <si>
    <t>maneki neko</t>
  </si>
  <si>
    <t>daruma</t>
  </si>
  <si>
    <t>sun</t>
  </si>
  <si>
    <t>hsh dalmatian</t>
  </si>
  <si>
    <t>sonny angel gol rabbits</t>
  </si>
  <si>
    <t>a bunch of regs</t>
  </si>
  <si>
    <t>sonny angel bat</t>
  </si>
  <si>
    <t xml:space="preserve">sonny angel charlie </t>
  </si>
  <si>
    <t>frenchie, chicken, dog</t>
  </si>
  <si>
    <t xml:space="preserve">dreaming robby </t>
  </si>
  <si>
    <t>cow, pumpkin, hsh</t>
  </si>
  <si>
    <t>sonny angel secret unicorn</t>
  </si>
  <si>
    <t>looking back rabbit</t>
  </si>
  <si>
    <t xml:space="preserve">sonny angel storm </t>
  </si>
  <si>
    <t>teapot</t>
  </si>
  <si>
    <t>sonny angel rainbow</t>
  </si>
  <si>
    <t>carlos mejia</t>
  </si>
  <si>
    <t>sonny angel witch</t>
  </si>
  <si>
    <t>birthday bear</t>
  </si>
  <si>
    <t xml:space="preserve">sonny angel christma blue </t>
  </si>
  <si>
    <t>brianna</t>
  </si>
  <si>
    <t>sitting cat</t>
  </si>
  <si>
    <t xml:space="preserve">sonny angel dolphin </t>
  </si>
  <si>
    <t xml:space="preserve">sonny angel ww koala </t>
  </si>
  <si>
    <t>chocolate rabbit, storm, rainbow</t>
  </si>
  <si>
    <t>sonny angel town musician rooster</t>
  </si>
  <si>
    <t>jellyfish</t>
  </si>
  <si>
    <t xml:space="preserve">sonny angel skiploom </t>
  </si>
  <si>
    <t xml:space="preserve">sonny angel 2021 ghost </t>
  </si>
  <si>
    <t>raspberry, lettuce, skunk</t>
  </si>
  <si>
    <t>halloween cat</t>
  </si>
  <si>
    <t>pink rabbit</t>
  </si>
  <si>
    <t>cabbage</t>
  </si>
  <si>
    <t>jeanette</t>
  </si>
  <si>
    <t>sonny angel christmas fawn</t>
  </si>
  <si>
    <t>raspberry (brooke barret)</t>
  </si>
  <si>
    <t>melon</t>
  </si>
  <si>
    <t>alohasonny</t>
  </si>
  <si>
    <t>tomato</t>
  </si>
  <si>
    <t>reindeer</t>
  </si>
  <si>
    <t>sonny angel h family crane</t>
  </si>
  <si>
    <t>rainbow (carlos mejia)</t>
  </si>
  <si>
    <t>cactus mouse</t>
  </si>
  <si>
    <t>anteater</t>
  </si>
  <si>
    <t>melons (ri van)</t>
  </si>
  <si>
    <t>zebra</t>
  </si>
  <si>
    <t>regular lop</t>
  </si>
  <si>
    <t>whale</t>
  </si>
  <si>
    <t xml:space="preserve">gol lop </t>
  </si>
  <si>
    <t>sloth, snow, frog, duck, ww koala, strawberry shortcake</t>
  </si>
  <si>
    <t>macaw</t>
  </si>
  <si>
    <t xml:space="preserve">ww dalmatian </t>
  </si>
  <si>
    <t>star+duck</t>
  </si>
  <si>
    <t xml:space="preserve">dreamming hipper </t>
  </si>
  <si>
    <t>hsh elephant</t>
  </si>
  <si>
    <t>jellybeaan</t>
  </si>
  <si>
    <t>rasbperyy</t>
  </si>
  <si>
    <t>brooke barrett</t>
  </si>
  <si>
    <t>onion</t>
  </si>
  <si>
    <t>puprple flowerr</t>
  </si>
  <si>
    <t>blowfish</t>
  </si>
  <si>
    <t>hsh shiba</t>
  </si>
  <si>
    <t xml:space="preserve">red daruma </t>
  </si>
  <si>
    <t>winter sonny</t>
  </si>
  <si>
    <t xml:space="preserve">skunk </t>
  </si>
  <si>
    <t>lucky dog</t>
  </si>
  <si>
    <t>penguin</t>
  </si>
  <si>
    <t>ww rabbit</t>
  </si>
  <si>
    <t>chocolate rabbit</t>
  </si>
  <si>
    <t>courtney hill</t>
  </si>
  <si>
    <t>jaguar</t>
  </si>
  <si>
    <t>sonny angel buffalo</t>
  </si>
  <si>
    <t>cactus hsh</t>
  </si>
  <si>
    <t>racoon dog lucky</t>
  </si>
  <si>
    <t>flower gift</t>
  </si>
  <si>
    <t>town musician cat</t>
  </si>
  <si>
    <t xml:space="preserve">duck </t>
  </si>
  <si>
    <t xml:space="preserve">lion donna wilson </t>
  </si>
  <si>
    <t>pudding</t>
  </si>
  <si>
    <t>19th anniv</t>
  </si>
  <si>
    <t>tiger</t>
  </si>
  <si>
    <t>rabbit gummy</t>
  </si>
  <si>
    <t xml:space="preserve">skiplum </t>
  </si>
  <si>
    <t xml:space="preserve">yellow gummy </t>
  </si>
  <si>
    <t xml:space="preserve">chimpunk hipper </t>
  </si>
  <si>
    <t>frog</t>
  </si>
  <si>
    <t>giraffe</t>
  </si>
  <si>
    <t>oanda</t>
  </si>
  <si>
    <t>jelly bean</t>
  </si>
  <si>
    <t>shorthair</t>
  </si>
  <si>
    <t>peacock</t>
  </si>
  <si>
    <t xml:space="preserve">rainbow </t>
  </si>
  <si>
    <t>sloth</t>
  </si>
  <si>
    <t>giraffe hipper</t>
  </si>
  <si>
    <t>cucumber</t>
  </si>
  <si>
    <t>hipo</t>
  </si>
  <si>
    <t>rabbit hipper</t>
  </si>
  <si>
    <t>popcorn or idk</t>
  </si>
  <si>
    <t xml:space="preserve">koala </t>
  </si>
  <si>
    <t>frenchie</t>
  </si>
  <si>
    <t>koala hipper</t>
  </si>
  <si>
    <t>panda</t>
  </si>
  <si>
    <t>morning glory</t>
  </si>
  <si>
    <t>cow</t>
  </si>
  <si>
    <t>ww koala</t>
  </si>
  <si>
    <t xml:space="preserve">seal </t>
  </si>
  <si>
    <t>looking back hipper sloth</t>
  </si>
  <si>
    <t>good luck dog</t>
  </si>
  <si>
    <t>cloud</t>
  </si>
  <si>
    <t>*</t>
  </si>
  <si>
    <t>owl</t>
  </si>
  <si>
    <t>apple card</t>
  </si>
  <si>
    <t>laurel green</t>
  </si>
  <si>
    <t>bofa</t>
  </si>
  <si>
    <t>laurel silver</t>
  </si>
  <si>
    <t>blue rabbit</t>
  </si>
  <si>
    <t xml:space="preserve">debo 4345 por banco </t>
  </si>
  <si>
    <t>white rabbit</t>
  </si>
  <si>
    <t>y de lo otro</t>
  </si>
  <si>
    <t>ufo</t>
  </si>
  <si>
    <t>hkd</t>
  </si>
  <si>
    <t>dragonfly</t>
  </si>
  <si>
    <t>snail</t>
  </si>
  <si>
    <t>total</t>
  </si>
  <si>
    <t>rabbit bobblhead</t>
  </si>
  <si>
    <t>680 usd</t>
  </si>
  <si>
    <t xml:space="preserve">raddish </t>
  </si>
  <si>
    <t>grand total</t>
  </si>
  <si>
    <t xml:space="preserve">pague 120.5 snail </t>
  </si>
  <si>
    <t xml:space="preserve">faltan en la apple pa reponer </t>
  </si>
  <si>
    <t xml:space="preserve">pague 230 laurel </t>
  </si>
  <si>
    <t>ebay lot:</t>
  </si>
  <si>
    <t>sonny chick</t>
  </si>
  <si>
    <t>sonny budget spent</t>
  </si>
  <si>
    <t>you still have</t>
  </si>
  <si>
    <t>robby</t>
  </si>
  <si>
    <t>ebay lot (apple card)</t>
  </si>
  <si>
    <t>PAGADOS</t>
  </si>
  <si>
    <t>faltan a pagar el último pago de ebay en la tarjeta</t>
  </si>
  <si>
    <t>amazon?</t>
  </si>
  <si>
    <t>glen echo park</t>
  </si>
  <si>
    <t>news express</t>
  </si>
  <si>
    <t>fennec fox</t>
  </si>
  <si>
    <t>wasa + rabbit</t>
  </si>
  <si>
    <t>regalo artu</t>
  </si>
  <si>
    <t>apple card reponer rammen</t>
  </si>
  <si>
    <t>monito</t>
  </si>
  <si>
    <t>lo que no se ha vendido del otro lot (apple card)</t>
  </si>
  <si>
    <t>ipsy</t>
  </si>
  <si>
    <t>sonny angels nyc</t>
  </si>
  <si>
    <t>taxes payment 1</t>
  </si>
  <si>
    <t>wire rameen</t>
  </si>
  <si>
    <t>rameen japan sonny angels</t>
  </si>
  <si>
    <t>jordana</t>
  </si>
  <si>
    <t>lot de sonnies con clown sheep</t>
  </si>
  <si>
    <t>cactus monkey</t>
  </si>
  <si>
    <t>hsh sheep</t>
  </si>
  <si>
    <t xml:space="preserve">i sold 300 </t>
  </si>
  <si>
    <t>white ghost</t>
  </si>
  <si>
    <t>new master budget sonny started 3/13</t>
  </si>
  <si>
    <t>concepto</t>
  </si>
  <si>
    <t>pago</t>
  </si>
  <si>
    <t xml:space="preserve">cobro </t>
  </si>
  <si>
    <t xml:space="preserve">total </t>
  </si>
  <si>
    <t xml:space="preserve">empieza </t>
  </si>
  <si>
    <t>chef</t>
  </si>
  <si>
    <t>price</t>
  </si>
  <si>
    <t>bee</t>
  </si>
  <si>
    <t>christmas bear</t>
  </si>
  <si>
    <t>christmas robby</t>
  </si>
  <si>
    <t>turtle</t>
  </si>
  <si>
    <t>yellow robby</t>
  </si>
  <si>
    <t>purple robby</t>
  </si>
  <si>
    <t>elephant</t>
  </si>
  <si>
    <t>squirrel</t>
  </si>
  <si>
    <t>christmas stuffed robby</t>
  </si>
  <si>
    <t>chocolate fawn</t>
  </si>
  <si>
    <t>wink keychain secret</t>
  </si>
  <si>
    <t>sprout hipper</t>
  </si>
  <si>
    <t>selling price</t>
  </si>
  <si>
    <t>kept 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</si>
</sst>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0" fontId="1" numFmtId="164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0" fontId="3" numFmtId="0" xfId="0" applyAlignment="1" applyFont="1">
      <alignment horizontal="right" readingOrder="0" vertical="bottom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readingOrder="0" vertical="bottom"/>
    </xf>
    <xf borderId="0" fillId="0" fontId="3" numFmtId="0" xfId="0" applyAlignment="1" applyFont="1">
      <alignment vertical="bottom"/>
    </xf>
    <xf borderId="0" fillId="3" fontId="1" numFmtId="0" xfId="0" applyAlignment="1" applyFill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6" max="6" width="24.5"/>
    <col customWidth="1" min="16" max="16" width="26.38"/>
  </cols>
  <sheetData>
    <row r="1">
      <c r="A1" s="1" t="s">
        <v>0</v>
      </c>
      <c r="C1" s="1">
        <v>345.94</v>
      </c>
      <c r="D1" s="1">
        <v>345.94</v>
      </c>
      <c r="E1" s="1">
        <v>345.94</v>
      </c>
      <c r="F1" s="1">
        <v>345.94</v>
      </c>
      <c r="H1" s="2">
        <f>C1+D1+E1+F1</f>
        <v>1383.76</v>
      </c>
      <c r="J1" s="3">
        <f>H1-D3</f>
        <v>96.76</v>
      </c>
      <c r="K1" s="1" t="s">
        <v>1</v>
      </c>
      <c r="V1" s="1" t="s">
        <v>2</v>
      </c>
    </row>
    <row r="2">
      <c r="A2" s="1" t="s">
        <v>3</v>
      </c>
      <c r="B2" s="1" t="s">
        <v>4</v>
      </c>
      <c r="F2" s="1" t="s">
        <v>5</v>
      </c>
      <c r="G2" s="1">
        <v>80.0</v>
      </c>
      <c r="N2" s="4">
        <v>46067.0</v>
      </c>
      <c r="O2" s="1">
        <v>5.5</v>
      </c>
      <c r="Q2" s="2">
        <f>SUM(O3:O103)</f>
        <v>957.52</v>
      </c>
      <c r="V2" s="1" t="s">
        <v>6</v>
      </c>
      <c r="X2" s="2">
        <f>364.66+401.36+191.5</f>
        <v>957.52</v>
      </c>
    </row>
    <row r="3">
      <c r="A3" s="5" t="s">
        <v>7</v>
      </c>
      <c r="B3" s="5">
        <v>55.0</v>
      </c>
      <c r="C3" s="1" t="s">
        <v>8</v>
      </c>
      <c r="D3" s="2">
        <f>sum(B:B)</f>
        <v>1287</v>
      </c>
      <c r="F3" s="1" t="s">
        <v>9</v>
      </c>
      <c r="G3" s="1">
        <v>90.0</v>
      </c>
      <c r="I3" s="2">
        <f>sum(G:G)</f>
        <v>1506</v>
      </c>
      <c r="L3" s="2">
        <f>I3+D3</f>
        <v>2793</v>
      </c>
      <c r="N3" s="1">
        <v>107.0</v>
      </c>
      <c r="O3" s="2">
        <f>N3-O2</f>
        <v>101.5</v>
      </c>
      <c r="P3" s="1" t="s">
        <v>10</v>
      </c>
      <c r="Q3" s="2">
        <f>B3+B5+B8+B9+B10+B18+B22+B30+B35+B46+10+B69+B32+B50+B53+B61+B67+B4+B6+B11+B16+B48+B29+B63+Q4+B21+B58+B60+B65+B73+B27+B28+B29+B13+B14+B19+B20+B31+B33+B37+B38+B43+B51+B52+B56+B57+B66+B68+B49+B47+B12</f>
        <v>1019.5</v>
      </c>
      <c r="R3" s="2">
        <f>Q3-45</f>
        <v>974.5</v>
      </c>
      <c r="V3" s="1" t="s">
        <v>11</v>
      </c>
    </row>
    <row r="4">
      <c r="A4" s="5" t="s">
        <v>12</v>
      </c>
      <c r="B4" s="5">
        <v>40.0</v>
      </c>
      <c r="F4" s="1" t="s">
        <v>13</v>
      </c>
      <c r="G4" s="1">
        <v>100.0</v>
      </c>
      <c r="N4" s="1">
        <v>81.66</v>
      </c>
      <c r="O4" s="2">
        <f>N4-O2</f>
        <v>76.16</v>
      </c>
      <c r="P4" s="1" t="s">
        <v>14</v>
      </c>
      <c r="S4" s="2">
        <f>R3+K8</f>
        <v>1240.5</v>
      </c>
    </row>
    <row r="5">
      <c r="A5" s="5" t="s">
        <v>15</v>
      </c>
      <c r="B5" s="5">
        <v>55.0</v>
      </c>
      <c r="F5" s="1" t="s">
        <v>7</v>
      </c>
      <c r="G5" s="1">
        <v>80.0</v>
      </c>
      <c r="M5" s="2">
        <f>SUM(O3:O6)</f>
        <v>364.66</v>
      </c>
      <c r="N5" s="1">
        <v>165.5</v>
      </c>
      <c r="O5" s="2">
        <f>N5-O2</f>
        <v>160</v>
      </c>
      <c r="P5" s="1" t="s">
        <v>16</v>
      </c>
    </row>
    <row r="6">
      <c r="A6" s="5" t="s">
        <v>17</v>
      </c>
      <c r="B6" s="5">
        <v>20.0</v>
      </c>
      <c r="F6" s="1" t="s">
        <v>18</v>
      </c>
      <c r="G6" s="1">
        <v>70.0</v>
      </c>
      <c r="N6" s="1">
        <v>32.5</v>
      </c>
      <c r="O6" s="2">
        <f>N6-O2</f>
        <v>27</v>
      </c>
      <c r="P6" s="1" t="s">
        <v>19</v>
      </c>
    </row>
    <row r="7">
      <c r="A7" s="1" t="s">
        <v>20</v>
      </c>
      <c r="B7" s="1">
        <v>25.0</v>
      </c>
      <c r="F7" s="1" t="s">
        <v>21</v>
      </c>
      <c r="G7" s="1">
        <v>30.0</v>
      </c>
      <c r="N7" s="4">
        <v>46068.0</v>
      </c>
    </row>
    <row r="8">
      <c r="A8" s="5" t="s">
        <v>22</v>
      </c>
      <c r="B8" s="5">
        <v>45.0</v>
      </c>
      <c r="F8" s="1" t="s">
        <v>12</v>
      </c>
      <c r="G8" s="1">
        <v>45.0</v>
      </c>
      <c r="K8" s="2">
        <f>B7+B15+B17+B23+B24+B25+B26+B34+B36+B38+B39+B40+B41+B42+B44+B45+B55+B57+B59+B62+B70+B71+B72</f>
        <v>266</v>
      </c>
      <c r="N8" s="2">
        <f>123</f>
        <v>123</v>
      </c>
      <c r="O8" s="2">
        <f>N8-O2</f>
        <v>117.5</v>
      </c>
      <c r="P8" s="1" t="s">
        <v>23</v>
      </c>
    </row>
    <row r="9">
      <c r="A9" s="5" t="s">
        <v>24</v>
      </c>
      <c r="B9" s="5">
        <v>40.0</v>
      </c>
      <c r="F9" s="1" t="s">
        <v>25</v>
      </c>
      <c r="G9" s="1">
        <v>75.0</v>
      </c>
      <c r="M9" s="1">
        <f>SUM(O8:O11)</f>
        <v>284</v>
      </c>
      <c r="N9" s="2">
        <f>55.5</f>
        <v>55.5</v>
      </c>
      <c r="O9" s="2">
        <f>N9-O2</f>
        <v>50</v>
      </c>
      <c r="P9" s="1" t="s">
        <v>26</v>
      </c>
    </row>
    <row r="10">
      <c r="A10" s="5" t="s">
        <v>27</v>
      </c>
      <c r="B10" s="5">
        <v>45.0</v>
      </c>
      <c r="F10" s="1" t="s">
        <v>15</v>
      </c>
      <c r="G10" s="1">
        <v>55.0</v>
      </c>
      <c r="N10" s="1">
        <v>108.0</v>
      </c>
      <c r="O10" s="2">
        <f>N10-O2</f>
        <v>102.5</v>
      </c>
      <c r="P10" s="1" t="s">
        <v>28</v>
      </c>
    </row>
    <row r="11">
      <c r="A11" s="5" t="s">
        <v>27</v>
      </c>
      <c r="B11" s="5">
        <v>45.0</v>
      </c>
      <c r="F11" s="1" t="s">
        <v>29</v>
      </c>
      <c r="G11" s="1">
        <v>75.0</v>
      </c>
      <c r="N11" s="1">
        <v>19.5</v>
      </c>
      <c r="O11" s="2">
        <f>N11-O2</f>
        <v>14</v>
      </c>
      <c r="P11" s="1" t="s">
        <v>30</v>
      </c>
    </row>
    <row r="12">
      <c r="A12" s="5" t="s">
        <v>31</v>
      </c>
      <c r="B12" s="5">
        <v>25.0</v>
      </c>
      <c r="F12" s="1" t="s">
        <v>32</v>
      </c>
      <c r="G12" s="1">
        <v>55.0</v>
      </c>
      <c r="N12" s="4">
        <v>46069.0</v>
      </c>
    </row>
    <row r="13">
      <c r="A13" s="5" t="s">
        <v>33</v>
      </c>
      <c r="B13" s="5">
        <v>33.0</v>
      </c>
      <c r="C13" s="1" t="s">
        <v>34</v>
      </c>
      <c r="F13" s="1" t="s">
        <v>35</v>
      </c>
      <c r="G13" s="1">
        <v>40.0</v>
      </c>
      <c r="N13" s="1">
        <v>20.5</v>
      </c>
      <c r="O13" s="2">
        <f>N13-O2</f>
        <v>15</v>
      </c>
      <c r="P13" s="1" t="s">
        <v>36</v>
      </c>
    </row>
    <row r="14">
      <c r="A14" s="5" t="s">
        <v>37</v>
      </c>
      <c r="B14" s="5">
        <v>25.0</v>
      </c>
      <c r="C14" s="1" t="s">
        <v>38</v>
      </c>
      <c r="F14" s="1" t="s">
        <v>39</v>
      </c>
      <c r="G14" s="1">
        <v>45.0</v>
      </c>
      <c r="N14" s="4">
        <v>46070.0</v>
      </c>
    </row>
    <row r="15">
      <c r="A15" s="1" t="s">
        <v>40</v>
      </c>
      <c r="B15" s="1">
        <v>9.5</v>
      </c>
      <c r="F15" s="1" t="s">
        <v>41</v>
      </c>
      <c r="G15" s="1">
        <v>20.0</v>
      </c>
      <c r="N15" s="1">
        <v>24.26</v>
      </c>
      <c r="O15" s="2">
        <f>N15-O2</f>
        <v>18.76</v>
      </c>
      <c r="P15" s="1" t="s">
        <v>42</v>
      </c>
    </row>
    <row r="16">
      <c r="A16" s="5" t="s">
        <v>43</v>
      </c>
      <c r="B16" s="5">
        <v>12.0</v>
      </c>
      <c r="F16" s="1" t="s">
        <v>44</v>
      </c>
      <c r="G16" s="1">
        <v>13.0</v>
      </c>
      <c r="M16" s="2">
        <f>N15+N16+N17</f>
        <v>118.86</v>
      </c>
      <c r="N16" s="1">
        <v>60.49</v>
      </c>
      <c r="O16" s="2">
        <f>N16-O2</f>
        <v>54.99</v>
      </c>
      <c r="P16" s="1" t="s">
        <v>42</v>
      </c>
    </row>
    <row r="17">
      <c r="A17" s="1" t="s">
        <v>45</v>
      </c>
      <c r="B17" s="1">
        <v>16.0</v>
      </c>
      <c r="F17" s="1" t="s">
        <v>46</v>
      </c>
      <c r="G17" s="1">
        <v>50.0</v>
      </c>
      <c r="N17" s="6">
        <v>34.11</v>
      </c>
      <c r="O17" s="2">
        <f>N17-O2</f>
        <v>28.61</v>
      </c>
      <c r="P17" s="1" t="s">
        <v>47</v>
      </c>
    </row>
    <row r="18">
      <c r="A18" s="5" t="s">
        <v>48</v>
      </c>
      <c r="B18" s="5">
        <v>55.0</v>
      </c>
      <c r="F18" s="1" t="s">
        <v>49</v>
      </c>
      <c r="G18" s="1">
        <v>35.0</v>
      </c>
      <c r="N18" s="7">
        <v>46072.0</v>
      </c>
    </row>
    <row r="19">
      <c r="A19" s="5" t="s">
        <v>50</v>
      </c>
      <c r="B19" s="5">
        <v>11.0</v>
      </c>
      <c r="C19" s="1" t="s">
        <v>51</v>
      </c>
      <c r="F19" s="1" t="s">
        <v>52</v>
      </c>
      <c r="G19" s="1">
        <v>18.0</v>
      </c>
      <c r="N19" s="8">
        <v>17.0</v>
      </c>
      <c r="P19" s="1" t="s">
        <v>53</v>
      </c>
    </row>
    <row r="20">
      <c r="A20" s="5" t="s">
        <v>54</v>
      </c>
      <c r="B20" s="5">
        <v>11.0</v>
      </c>
      <c r="C20" s="1" t="s">
        <v>55</v>
      </c>
      <c r="F20" s="1" t="s">
        <v>56</v>
      </c>
      <c r="G20" s="1">
        <v>12.0</v>
      </c>
      <c r="N20" s="9">
        <v>46075.0</v>
      </c>
    </row>
    <row r="21">
      <c r="A21" s="5" t="s">
        <v>57</v>
      </c>
      <c r="B21" s="5">
        <v>11.0</v>
      </c>
      <c r="F21" s="1" t="s">
        <v>58</v>
      </c>
      <c r="G21" s="1">
        <v>22.0</v>
      </c>
      <c r="N21" s="1">
        <v>38.5</v>
      </c>
      <c r="O21" s="2">
        <f t="shared" ref="O21:O22" si="1">N21-5.5</f>
        <v>33</v>
      </c>
      <c r="P21" s="1" t="s">
        <v>59</v>
      </c>
    </row>
    <row r="22">
      <c r="A22" s="5" t="s">
        <v>60</v>
      </c>
      <c r="B22" s="5">
        <v>20.0</v>
      </c>
      <c r="F22" s="1" t="s">
        <v>61</v>
      </c>
      <c r="G22" s="1">
        <v>13.0</v>
      </c>
      <c r="M22" s="2">
        <f>N21+N22</f>
        <v>63</v>
      </c>
      <c r="N22" s="1">
        <v>24.5</v>
      </c>
      <c r="O22" s="2">
        <f t="shared" si="1"/>
        <v>19</v>
      </c>
      <c r="P22" s="1" t="s">
        <v>62</v>
      </c>
    </row>
    <row r="23">
      <c r="A23" s="1" t="s">
        <v>63</v>
      </c>
      <c r="B23" s="1">
        <v>9.5</v>
      </c>
      <c r="F23" s="1" t="s">
        <v>64</v>
      </c>
      <c r="G23" s="1">
        <v>40.0</v>
      </c>
      <c r="N23" s="4">
        <v>46078.0</v>
      </c>
    </row>
    <row r="24">
      <c r="A24" s="1" t="s">
        <v>65</v>
      </c>
      <c r="B24" s="1">
        <v>9.5</v>
      </c>
      <c r="F24" s="1" t="s">
        <v>66</v>
      </c>
      <c r="G24" s="1">
        <v>40.0</v>
      </c>
      <c r="N24" s="1">
        <v>111.0</v>
      </c>
      <c r="O24" s="2">
        <f t="shared" ref="O24:O26" si="2">N24-5.5</f>
        <v>105.5</v>
      </c>
      <c r="P24" s="1" t="s">
        <v>67</v>
      </c>
    </row>
    <row r="25">
      <c r="A25" s="1" t="s">
        <v>68</v>
      </c>
      <c r="B25" s="1">
        <v>9.5</v>
      </c>
      <c r="F25" s="1" t="s">
        <v>69</v>
      </c>
      <c r="G25" s="1">
        <v>25.0</v>
      </c>
      <c r="M25" s="2">
        <f>N24+N25+N26</f>
        <v>156</v>
      </c>
      <c r="N25" s="1">
        <v>31.5</v>
      </c>
      <c r="O25" s="2">
        <f t="shared" si="2"/>
        <v>26</v>
      </c>
      <c r="P25" s="1" t="s">
        <v>70</v>
      </c>
    </row>
    <row r="26">
      <c r="A26" s="1" t="s">
        <v>71</v>
      </c>
      <c r="F26" s="1" t="s">
        <v>72</v>
      </c>
      <c r="G26" s="1">
        <v>20.0</v>
      </c>
      <c r="N26" s="1">
        <v>13.5</v>
      </c>
      <c r="O26" s="2">
        <f t="shared" si="2"/>
        <v>8</v>
      </c>
      <c r="P26" s="1" t="s">
        <v>73</v>
      </c>
    </row>
    <row r="27">
      <c r="A27" s="5" t="s">
        <v>74</v>
      </c>
      <c r="B27" s="5">
        <v>11.0</v>
      </c>
      <c r="C27" s="1" t="s">
        <v>75</v>
      </c>
      <c r="F27" s="1" t="s">
        <v>76</v>
      </c>
      <c r="G27" s="1">
        <v>10.0</v>
      </c>
    </row>
    <row r="28">
      <c r="A28" s="5" t="s">
        <v>74</v>
      </c>
      <c r="B28" s="5">
        <v>11.0</v>
      </c>
      <c r="F28" s="1" t="s">
        <v>77</v>
      </c>
      <c r="G28" s="1">
        <v>10.0</v>
      </c>
    </row>
    <row r="29">
      <c r="A29" s="5" t="s">
        <v>78</v>
      </c>
      <c r="B29" s="5">
        <v>11.0</v>
      </c>
      <c r="F29" s="1" t="s">
        <v>79</v>
      </c>
      <c r="G29" s="1">
        <v>22.0</v>
      </c>
    </row>
    <row r="30">
      <c r="A30" s="5" t="s">
        <v>80</v>
      </c>
      <c r="B30" s="5">
        <v>25.0</v>
      </c>
      <c r="F30" s="1" t="s">
        <v>81</v>
      </c>
      <c r="G30" s="1">
        <v>25.0</v>
      </c>
    </row>
    <row r="31">
      <c r="A31" s="5" t="s">
        <v>82</v>
      </c>
      <c r="B31" s="5">
        <v>11.0</v>
      </c>
      <c r="F31" s="1" t="s">
        <v>83</v>
      </c>
      <c r="G31" s="1">
        <v>18.0</v>
      </c>
    </row>
    <row r="32">
      <c r="A32" s="5" t="s">
        <v>84</v>
      </c>
      <c r="B32" s="5">
        <v>11.0</v>
      </c>
      <c r="F32" s="1" t="s">
        <v>85</v>
      </c>
      <c r="G32" s="1">
        <v>20.0</v>
      </c>
    </row>
    <row r="33">
      <c r="A33" s="5" t="s">
        <v>86</v>
      </c>
      <c r="B33" s="5">
        <v>30.0</v>
      </c>
      <c r="C33" s="1" t="s">
        <v>87</v>
      </c>
      <c r="F33" s="1" t="s">
        <v>88</v>
      </c>
      <c r="G33" s="1">
        <v>10.0</v>
      </c>
    </row>
    <row r="34">
      <c r="A34" s="1" t="s">
        <v>89</v>
      </c>
      <c r="B34" s="1">
        <v>9.5</v>
      </c>
      <c r="F34" s="1" t="s">
        <v>90</v>
      </c>
      <c r="G34" s="1">
        <v>18.0</v>
      </c>
    </row>
    <row r="35">
      <c r="A35" s="5" t="s">
        <v>41</v>
      </c>
      <c r="B35" s="5">
        <v>20.0</v>
      </c>
      <c r="C35" s="1" t="s">
        <v>8</v>
      </c>
      <c r="F35" s="10" t="s">
        <v>91</v>
      </c>
      <c r="G35" s="8">
        <v>20.0</v>
      </c>
    </row>
    <row r="36">
      <c r="A36" s="1" t="s">
        <v>92</v>
      </c>
      <c r="B36" s="1">
        <v>16.0</v>
      </c>
      <c r="F36" s="10" t="s">
        <v>93</v>
      </c>
      <c r="G36" s="8">
        <v>20.0</v>
      </c>
    </row>
    <row r="37">
      <c r="A37" s="5" t="s">
        <v>94</v>
      </c>
      <c r="B37" s="5">
        <v>19.0</v>
      </c>
      <c r="F37" s="10" t="s">
        <v>95</v>
      </c>
      <c r="G37" s="8">
        <v>80.0</v>
      </c>
    </row>
    <row r="38">
      <c r="A38" s="5" t="s">
        <v>96</v>
      </c>
      <c r="B38" s="5"/>
      <c r="F38" s="1" t="s">
        <v>97</v>
      </c>
      <c r="G38" s="1">
        <v>90.0</v>
      </c>
    </row>
    <row r="39">
      <c r="A39" s="1" t="s">
        <v>98</v>
      </c>
      <c r="B39" s="1">
        <v>9.5</v>
      </c>
      <c r="F39" s="1" t="s">
        <v>99</v>
      </c>
      <c r="G39" s="1">
        <v>15.0</v>
      </c>
    </row>
    <row r="40">
      <c r="A40" s="1" t="s">
        <v>100</v>
      </c>
      <c r="B40" s="1">
        <v>16.0</v>
      </c>
    </row>
    <row r="41">
      <c r="A41" s="1" t="s">
        <v>101</v>
      </c>
      <c r="B41" s="1">
        <v>17.0</v>
      </c>
    </row>
    <row r="42">
      <c r="A42" s="1" t="s">
        <v>102</v>
      </c>
      <c r="B42" s="1">
        <v>13.0</v>
      </c>
    </row>
    <row r="43">
      <c r="A43" s="5" t="s">
        <v>103</v>
      </c>
      <c r="B43" s="5">
        <v>19.0</v>
      </c>
    </row>
    <row r="44">
      <c r="A44" s="1" t="s">
        <v>92</v>
      </c>
      <c r="B44" s="1">
        <v>16.0</v>
      </c>
    </row>
    <row r="45">
      <c r="A45" s="1" t="s">
        <v>68</v>
      </c>
      <c r="B45" s="1">
        <v>9.5</v>
      </c>
    </row>
    <row r="46">
      <c r="A46" s="5" t="s">
        <v>104</v>
      </c>
      <c r="B46" s="5">
        <v>11.0</v>
      </c>
    </row>
    <row r="47">
      <c r="A47" s="5" t="s">
        <v>54</v>
      </c>
      <c r="B47" s="5">
        <v>11.0</v>
      </c>
    </row>
    <row r="48">
      <c r="A48" s="5" t="s">
        <v>105</v>
      </c>
      <c r="B48" s="5">
        <v>11.0</v>
      </c>
    </row>
    <row r="49">
      <c r="A49" s="5" t="s">
        <v>106</v>
      </c>
      <c r="B49" s="5">
        <v>11.0</v>
      </c>
    </row>
    <row r="50">
      <c r="A50" s="5" t="s">
        <v>107</v>
      </c>
      <c r="B50" s="5">
        <v>7.0</v>
      </c>
    </row>
    <row r="51">
      <c r="A51" s="5" t="s">
        <v>108</v>
      </c>
      <c r="B51" s="5">
        <v>11.0</v>
      </c>
    </row>
    <row r="52">
      <c r="A52" s="5" t="s">
        <v>109</v>
      </c>
      <c r="B52" s="5">
        <v>33.0</v>
      </c>
      <c r="C52" s="1" t="s">
        <v>87</v>
      </c>
    </row>
    <row r="53">
      <c r="A53" s="5" t="s">
        <v>110</v>
      </c>
      <c r="B53" s="5">
        <v>11.0</v>
      </c>
    </row>
    <row r="54">
      <c r="A54" s="5" t="s">
        <v>111</v>
      </c>
      <c r="B54" s="5">
        <v>13.0</v>
      </c>
    </row>
    <row r="55">
      <c r="A55" s="1" t="s">
        <v>112</v>
      </c>
      <c r="B55" s="1">
        <v>6.0</v>
      </c>
    </row>
    <row r="56">
      <c r="A56" s="5" t="s">
        <v>113</v>
      </c>
      <c r="B56" s="5">
        <v>11.0</v>
      </c>
    </row>
    <row r="57">
      <c r="A57" s="5" t="s">
        <v>94</v>
      </c>
      <c r="B57" s="5">
        <v>13.5</v>
      </c>
    </row>
    <row r="58">
      <c r="A58" s="5" t="s">
        <v>114</v>
      </c>
      <c r="B58" s="5">
        <v>13.0</v>
      </c>
    </row>
    <row r="59">
      <c r="A59" s="1" t="s">
        <v>115</v>
      </c>
      <c r="B59" s="1">
        <v>9.5</v>
      </c>
    </row>
    <row r="60">
      <c r="A60" s="5" t="s">
        <v>116</v>
      </c>
      <c r="B60" s="5">
        <v>11.0</v>
      </c>
    </row>
    <row r="61">
      <c r="A61" s="5" t="s">
        <v>117</v>
      </c>
      <c r="B61" s="5">
        <v>11.0</v>
      </c>
    </row>
    <row r="62">
      <c r="A62" s="1" t="s">
        <v>118</v>
      </c>
      <c r="B62" s="1">
        <v>10.0</v>
      </c>
    </row>
    <row r="63">
      <c r="A63" s="5" t="s">
        <v>119</v>
      </c>
      <c r="B63" s="5">
        <v>11.0</v>
      </c>
    </row>
    <row r="64">
      <c r="A64" s="5" t="s">
        <v>120</v>
      </c>
      <c r="B64" s="5">
        <v>11.0</v>
      </c>
    </row>
    <row r="65">
      <c r="A65" s="5" t="s">
        <v>121</v>
      </c>
      <c r="B65" s="5">
        <v>28.0</v>
      </c>
    </row>
    <row r="66">
      <c r="A66" s="5" t="s">
        <v>122</v>
      </c>
      <c r="B66" s="5">
        <v>17.0</v>
      </c>
    </row>
    <row r="67">
      <c r="A67" s="5" t="s">
        <v>123</v>
      </c>
      <c r="B67" s="5">
        <v>11.0</v>
      </c>
    </row>
    <row r="68">
      <c r="A68" s="5" t="s">
        <v>124</v>
      </c>
      <c r="B68" s="5">
        <v>14.0</v>
      </c>
    </row>
    <row r="69">
      <c r="A69" s="5" t="s">
        <v>125</v>
      </c>
      <c r="B69" s="5">
        <v>25.0</v>
      </c>
    </row>
    <row r="70">
      <c r="A70" s="1" t="s">
        <v>126</v>
      </c>
      <c r="B70" s="1">
        <v>25.0</v>
      </c>
    </row>
    <row r="71">
      <c r="A71" s="1" t="s">
        <v>63</v>
      </c>
      <c r="B71" s="1">
        <v>7.0</v>
      </c>
      <c r="C71" s="1" t="s">
        <v>127</v>
      </c>
    </row>
    <row r="72">
      <c r="A72" s="1" t="s">
        <v>115</v>
      </c>
      <c r="B72" s="1">
        <v>9.5</v>
      </c>
    </row>
    <row r="73">
      <c r="A73" s="5" t="s">
        <v>123</v>
      </c>
      <c r="B73" s="5">
        <v>11.0</v>
      </c>
    </row>
    <row r="74">
      <c r="A74" s="1" t="s">
        <v>128</v>
      </c>
      <c r="B74" s="1">
        <v>12.0</v>
      </c>
      <c r="C74" s="1" t="s">
        <v>127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4" max="4" width="18.63"/>
    <col customWidth="1" min="5" max="6" width="16.0"/>
  </cols>
  <sheetData>
    <row r="2">
      <c r="A2" s="1">
        <v>453.9</v>
      </c>
      <c r="B2" s="1" t="s">
        <v>129</v>
      </c>
      <c r="E2" s="11">
        <v>230.0</v>
      </c>
      <c r="F2" s="11" t="s">
        <v>130</v>
      </c>
    </row>
    <row r="3">
      <c r="A3" s="1">
        <v>460.53</v>
      </c>
      <c r="B3" s="1" t="s">
        <v>131</v>
      </c>
      <c r="E3" s="11"/>
      <c r="F3" s="11" t="s">
        <v>132</v>
      </c>
      <c r="H3" s="2">
        <f>J3*2</f>
        <v>6520</v>
      </c>
      <c r="J3" s="12">
        <v>3260.0</v>
      </c>
    </row>
    <row r="4">
      <c r="D4" s="2">
        <f>E2+E4+E5</f>
        <v>1130</v>
      </c>
      <c r="E4" s="11">
        <v>450.0</v>
      </c>
      <c r="F4" s="11" t="s">
        <v>133</v>
      </c>
      <c r="G4" s="13">
        <v>10866.49</v>
      </c>
      <c r="J4" s="1">
        <v>30.0</v>
      </c>
      <c r="K4" s="1">
        <v>40.0</v>
      </c>
    </row>
    <row r="5">
      <c r="A5" s="1" t="s">
        <v>134</v>
      </c>
      <c r="E5" s="11">
        <v>450.0</v>
      </c>
      <c r="F5" s="11" t="s">
        <v>135</v>
      </c>
    </row>
    <row r="6">
      <c r="A6" s="1" t="s">
        <v>136</v>
      </c>
      <c r="E6" s="11"/>
      <c r="F6" s="11" t="s">
        <v>137</v>
      </c>
    </row>
    <row r="7">
      <c r="A7" s="2">
        <f>SUM(G7:G10)</f>
        <v>760</v>
      </c>
      <c r="B7" s="1" t="s">
        <v>138</v>
      </c>
      <c r="E7" s="1"/>
      <c r="F7" s="1" t="s">
        <v>139</v>
      </c>
      <c r="G7" s="1">
        <v>400.0</v>
      </c>
    </row>
    <row r="8">
      <c r="E8" s="1">
        <v>120.0</v>
      </c>
      <c r="F8" s="1" t="s">
        <v>140</v>
      </c>
      <c r="G8" s="1">
        <v>400.0</v>
      </c>
    </row>
    <row r="9">
      <c r="A9" s="1" t="s">
        <v>141</v>
      </c>
      <c r="B9" s="2">
        <f>4345+760</f>
        <v>5105</v>
      </c>
      <c r="C9" s="1" t="s">
        <v>138</v>
      </c>
      <c r="E9" s="1"/>
      <c r="F9" s="1" t="s">
        <v>142</v>
      </c>
      <c r="G9" s="1">
        <v>-90.0</v>
      </c>
    </row>
    <row r="10">
      <c r="B10" s="1" t="s">
        <v>143</v>
      </c>
      <c r="E10" s="1"/>
      <c r="F10" s="1" t="s">
        <v>144</v>
      </c>
      <c r="G10" s="1">
        <v>50.0</v>
      </c>
    </row>
    <row r="12">
      <c r="A12" s="1" t="s">
        <v>145</v>
      </c>
      <c r="B12" s="2">
        <f>680+A3+A2</f>
        <v>1594.43</v>
      </c>
      <c r="E12" s="2">
        <f>SUM(E2:E10)</f>
        <v>1250</v>
      </c>
    </row>
    <row r="14">
      <c r="A14" s="1" t="s">
        <v>1</v>
      </c>
      <c r="B14" s="2">
        <f>B12-E12</f>
        <v>344.43</v>
      </c>
    </row>
    <row r="16">
      <c r="A16" s="1" t="s">
        <v>146</v>
      </c>
      <c r="B16" s="2">
        <f>120.5+230</f>
        <v>350.5</v>
      </c>
      <c r="C16" s="2">
        <f>A2-B16</f>
        <v>103.4</v>
      </c>
      <c r="D16" s="1" t="s">
        <v>147</v>
      </c>
    </row>
    <row r="17">
      <c r="A17" s="1" t="s">
        <v>148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33.0"/>
  </cols>
  <sheetData>
    <row r="1">
      <c r="A1" s="1" t="s">
        <v>149</v>
      </c>
      <c r="B1" s="1">
        <v>96.76</v>
      </c>
      <c r="E1" s="1" t="s">
        <v>150</v>
      </c>
      <c r="F1" s="1">
        <v>21.17</v>
      </c>
      <c r="G1" s="2">
        <f>SUM(F1:F11)</f>
        <v>597.28</v>
      </c>
      <c r="I1" s="1" t="s">
        <v>151</v>
      </c>
      <c r="K1" s="2">
        <f>SUM(J:J)</f>
        <v>2576.39</v>
      </c>
      <c r="M1" s="1" t="s">
        <v>152</v>
      </c>
      <c r="N1" s="2">
        <f>5000-K1</f>
        <v>2423.61</v>
      </c>
      <c r="O1" s="2">
        <f>N1+345.94</f>
        <v>2769.55</v>
      </c>
    </row>
    <row r="2">
      <c r="E2" s="1" t="s">
        <v>153</v>
      </c>
      <c r="F2" s="1">
        <v>51.27</v>
      </c>
      <c r="I2" s="5" t="s">
        <v>154</v>
      </c>
      <c r="J2" s="5">
        <v>96.76</v>
      </c>
      <c r="N2" s="1" t="s">
        <v>155</v>
      </c>
      <c r="O2" s="1" t="s">
        <v>156</v>
      </c>
    </row>
    <row r="3">
      <c r="E3" s="1" t="s">
        <v>157</v>
      </c>
      <c r="F3" s="1">
        <v>25.41</v>
      </c>
      <c r="I3" s="5" t="s">
        <v>150</v>
      </c>
      <c r="J3" s="5">
        <v>21.17</v>
      </c>
      <c r="L3" s="2">
        <f>J2+J3+J4+J5+J6+J8+J9</f>
        <v>889.2</v>
      </c>
      <c r="M3" s="2">
        <f>L3-345</f>
        <v>544.2</v>
      </c>
      <c r="N3" s="2">
        <f>544-243.02</f>
        <v>300.98</v>
      </c>
    </row>
    <row r="4">
      <c r="E4" s="1" t="s">
        <v>158</v>
      </c>
      <c r="F4" s="1">
        <v>30.0</v>
      </c>
      <c r="I4" s="5" t="s">
        <v>153</v>
      </c>
      <c r="J4" s="5">
        <v>51.27</v>
      </c>
    </row>
    <row r="5">
      <c r="E5" s="1" t="s">
        <v>159</v>
      </c>
      <c r="F5" s="1">
        <v>5.44</v>
      </c>
      <c r="I5" s="5" t="s">
        <v>160</v>
      </c>
      <c r="J5" s="5">
        <v>42.0</v>
      </c>
    </row>
    <row r="6">
      <c r="E6" s="1" t="s">
        <v>160</v>
      </c>
      <c r="F6" s="1">
        <v>42.0</v>
      </c>
      <c r="I6" s="5" t="s">
        <v>161</v>
      </c>
      <c r="J6" s="5">
        <v>310.0</v>
      </c>
    </row>
    <row r="7">
      <c r="E7" s="1" t="s">
        <v>161</v>
      </c>
      <c r="F7" s="1">
        <v>310.0</v>
      </c>
      <c r="I7" s="1" t="s">
        <v>131</v>
      </c>
      <c r="J7" s="1">
        <v>460.53</v>
      </c>
    </row>
    <row r="8">
      <c r="E8" s="1" t="s">
        <v>162</v>
      </c>
      <c r="F8" s="2">
        <f>(41.05+26.97)-6.04</f>
        <v>61.98</v>
      </c>
      <c r="I8" s="5" t="s">
        <v>163</v>
      </c>
      <c r="J8" s="5">
        <v>102.0</v>
      </c>
    </row>
    <row r="9">
      <c r="E9" s="1" t="s">
        <v>164</v>
      </c>
      <c r="F9" s="1">
        <v>18.61</v>
      </c>
      <c r="I9" s="5" t="s">
        <v>165</v>
      </c>
      <c r="J9" s="5">
        <v>266.0</v>
      </c>
    </row>
    <row r="10">
      <c r="E10" s="1" t="s">
        <v>166</v>
      </c>
      <c r="F10" s="1">
        <v>16.95</v>
      </c>
      <c r="I10" s="1" t="s">
        <v>167</v>
      </c>
      <c r="J10" s="1">
        <v>315.0</v>
      </c>
    </row>
    <row r="11">
      <c r="E11" s="1" t="s">
        <v>168</v>
      </c>
      <c r="F11" s="1">
        <v>14.45</v>
      </c>
      <c r="I11" s="1" t="s">
        <v>169</v>
      </c>
      <c r="J11" s="1">
        <v>670.7</v>
      </c>
    </row>
    <row r="12">
      <c r="I12" s="1" t="s">
        <v>170</v>
      </c>
      <c r="J12" s="1">
        <v>337.96</v>
      </c>
    </row>
    <row r="13">
      <c r="I13" s="1" t="s">
        <v>171</v>
      </c>
      <c r="J13" s="1">
        <v>36.0</v>
      </c>
    </row>
    <row r="14">
      <c r="I14" s="1" t="s">
        <v>172</v>
      </c>
      <c r="J14" s="1">
        <v>51.0</v>
      </c>
    </row>
    <row r="15">
      <c r="I15" s="1" t="s">
        <v>173</v>
      </c>
      <c r="J15" s="1">
        <v>37.0</v>
      </c>
    </row>
    <row r="16">
      <c r="I16" s="1" t="s">
        <v>174</v>
      </c>
      <c r="J16" s="1">
        <v>41.0</v>
      </c>
    </row>
    <row r="17">
      <c r="I17" s="1" t="s">
        <v>175</v>
      </c>
      <c r="J17" s="1">
        <v>-300.0</v>
      </c>
    </row>
    <row r="18">
      <c r="I18" s="1" t="s">
        <v>176</v>
      </c>
      <c r="J18" s="1">
        <v>38.0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177</v>
      </c>
    </row>
    <row r="2">
      <c r="A2" s="1" t="s">
        <v>178</v>
      </c>
      <c r="B2" s="1" t="s">
        <v>179</v>
      </c>
      <c r="C2" s="1" t="s">
        <v>180</v>
      </c>
      <c r="D2" s="1" t="s">
        <v>181</v>
      </c>
    </row>
    <row r="3">
      <c r="A3" s="1" t="s">
        <v>182</v>
      </c>
      <c r="B3" s="1">
        <v>2769.55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</cols>
  <sheetData>
    <row r="1">
      <c r="A1" s="1" t="s">
        <v>183</v>
      </c>
      <c r="B1" s="1">
        <v>150.0</v>
      </c>
      <c r="F1" s="1" t="s">
        <v>184</v>
      </c>
      <c r="G1" s="1">
        <v>705.0</v>
      </c>
      <c r="H1" s="1" t="s">
        <v>1</v>
      </c>
      <c r="I1" s="2">
        <f>G1-A16</f>
        <v>55</v>
      </c>
    </row>
    <row r="2">
      <c r="A2" s="1" t="s">
        <v>185</v>
      </c>
      <c r="C2" s="1">
        <v>100.0</v>
      </c>
    </row>
    <row r="3">
      <c r="A3" s="1" t="s">
        <v>186</v>
      </c>
    </row>
    <row r="4">
      <c r="A4" s="1" t="s">
        <v>187</v>
      </c>
    </row>
    <row r="5">
      <c r="A5" s="1" t="s">
        <v>188</v>
      </c>
      <c r="B5" s="1">
        <v>120.0</v>
      </c>
    </row>
    <row r="6">
      <c r="A6" s="1" t="s">
        <v>189</v>
      </c>
      <c r="B6" s="1">
        <v>55.0</v>
      </c>
    </row>
    <row r="7">
      <c r="A7" s="1" t="s">
        <v>190</v>
      </c>
      <c r="C7" s="1">
        <v>55.0</v>
      </c>
    </row>
    <row r="8">
      <c r="A8" s="1" t="s">
        <v>191</v>
      </c>
      <c r="C8" s="1">
        <v>30.0</v>
      </c>
    </row>
    <row r="9">
      <c r="A9" s="1" t="s">
        <v>192</v>
      </c>
      <c r="B9" s="1">
        <v>90.0</v>
      </c>
    </row>
    <row r="10">
      <c r="A10" s="1" t="s">
        <v>193</v>
      </c>
      <c r="B10" s="1">
        <v>35.0</v>
      </c>
    </row>
    <row r="11">
      <c r="A11" s="1" t="s">
        <v>194</v>
      </c>
      <c r="B11" s="1">
        <v>20.0</v>
      </c>
    </row>
    <row r="12">
      <c r="A12" s="1" t="s">
        <v>195</v>
      </c>
      <c r="B12" s="1">
        <v>70.0</v>
      </c>
    </row>
    <row r="13">
      <c r="A13" s="1" t="s">
        <v>196</v>
      </c>
      <c r="B13" s="1">
        <v>110.0</v>
      </c>
    </row>
    <row r="15">
      <c r="A15" s="1" t="s">
        <v>197</v>
      </c>
    </row>
    <row r="16">
      <c r="A16" s="2">
        <f>SUM(B:B)</f>
        <v>650</v>
      </c>
    </row>
    <row r="17">
      <c r="A17" s="1" t="s">
        <v>198</v>
      </c>
    </row>
    <row r="18">
      <c r="A18" s="2">
        <f>SUM(C:C)</f>
        <v>185</v>
      </c>
    </row>
  </sheetData>
  <drawing r:id="rId1"/>
</worksheet>
</file>